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user/Downloads/ESG_Project/"/>
    </mc:Choice>
  </mc:AlternateContent>
  <xr:revisionPtr revIDLastSave="0" documentId="13_ncr:1_{242D9649-CE42-2547-AABF-A5E3D3747002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2" i="1"/>
  <c r="I4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" i="1"/>
</calcChain>
</file>

<file path=xl/sharedStrings.xml><?xml version="1.0" encoding="utf-8"?>
<sst xmlns="http://schemas.openxmlformats.org/spreadsheetml/2006/main" count="108" uniqueCount="48">
  <si>
    <t>Bank</t>
  </si>
  <si>
    <t>Year</t>
  </si>
  <si>
    <t>Total Assets (₹ Cr)</t>
  </si>
  <si>
    <t>Total Loans (₹ Cr)</t>
  </si>
  <si>
    <t>Shares (Cr)</t>
  </si>
  <si>
    <t>Year-end Px (₹)</t>
  </si>
  <si>
    <t>Ticker_x</t>
  </si>
  <si>
    <t>ROE</t>
  </si>
  <si>
    <t>ROA</t>
  </si>
  <si>
    <t>PE</t>
  </si>
  <si>
    <t>AverageMarketCapCrore</t>
  </si>
  <si>
    <t>NetIncome</t>
  </si>
  <si>
    <t>CostToIncomeRatio</t>
  </si>
  <si>
    <t>TotalRevenue</t>
  </si>
  <si>
    <t>Negative_ESG_News_Count</t>
  </si>
  <si>
    <t>Avg_BM25_Score</t>
  </si>
  <si>
    <t>Avg_FinBERT_Confidence</t>
  </si>
  <si>
    <t>Formula_Fin_Lev</t>
  </si>
  <si>
    <t>SBI</t>
  </si>
  <si>
    <t>SBIN.NS</t>
  </si>
  <si>
    <t>HDFC Bank</t>
  </si>
  <si>
    <t>HDFCBANK.NS</t>
  </si>
  <si>
    <t>ICICI Bank</t>
  </si>
  <si>
    <t>ICICIBANK.NS</t>
  </si>
  <si>
    <t>Axis Bank</t>
  </si>
  <si>
    <t>AXISBANK.NS</t>
  </si>
  <si>
    <t>Kotak Mahindra Bank</t>
  </si>
  <si>
    <t>KOTAKBANK.NS</t>
  </si>
  <si>
    <t>Punjab National Bank</t>
  </si>
  <si>
    <t>PNB.NS</t>
  </si>
  <si>
    <t>Bank of Baroda</t>
  </si>
  <si>
    <t>BANKBARODA.NS</t>
  </si>
  <si>
    <t>IndusInd Bank</t>
  </si>
  <si>
    <t>INDUSINDBK.NS</t>
  </si>
  <si>
    <t>Yes Bank</t>
  </si>
  <si>
    <t>YESBANK.NS</t>
  </si>
  <si>
    <t>Canara Bank</t>
  </si>
  <si>
    <t>CANBK.NS</t>
  </si>
  <si>
    <t xml:space="preserve">Equity (₹ Cr) </t>
  </si>
  <si>
    <t xml:space="preserve">Net Profit (₹ Cr) </t>
  </si>
  <si>
    <t xml:space="preserve">NPL/Loans % </t>
  </si>
  <si>
    <t xml:space="preserve">Capad (E/A) </t>
  </si>
  <si>
    <t xml:space="preserve">NPL/Assets % </t>
  </si>
  <si>
    <t xml:space="preserve">Loans/Assets </t>
  </si>
  <si>
    <t>Earnings (NI/A) %</t>
  </si>
  <si>
    <t>MTBV</t>
  </si>
  <si>
    <t>Employee Count</t>
  </si>
  <si>
    <t>Actual_ESG_Controversy_Level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</si>
</sst>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</font>
    <font>
      <sz val="11"/>
      <color rgb="FF111827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2" borderId="0" xfId="0" applyFont="1" applyFill="1"/>
    <xf numFmtId="0" fontId="0" fillId="2" borderId="0" xfId="0" applyFill="1"/>
    <xf numFmtId="3" fontId="4" fillId="0" borderId="0" xfId="0" applyNumberFormat="1" applyFont="1"/>
    <xf numFmtId="3" fontId="5" fillId="0" borderId="0" xfId="0" applyNumberFormat="1" applyFont="1"/>
    <xf numFmtId="2" fontId="2" fillId="2" borderId="1" xfId="0" applyNumberFormat="1" applyFont="1" applyFill="1" applyBorder="1" applyAlignment="1">
      <alignment horizontal="center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1"/>
  <sheetViews>
    <sheetView tabSelected="1" workbookViewId="0">
      <selection activeCell="W35" sqref="W35"/>
    </sheetView>
  </sheetViews>
  <sheetFormatPr baseColWidth="10" defaultColWidth="8.83203125" defaultRowHeight="15" x14ac:dyDescent="0.2"/>
  <cols>
    <col min="1" max="1" width="18.83203125" bestFit="1" customWidth="1"/>
    <col min="2" max="2" width="9" bestFit="1" customWidth="1"/>
    <col min="3" max="3" width="16.1640625" bestFit="1" customWidth="1"/>
    <col min="4" max="4" width="15" bestFit="1" customWidth="1"/>
    <col min="5" max="5" width="15.6640625" bestFit="1" customWidth="1"/>
    <col min="6" max="6" width="19" bestFit="1" customWidth="1"/>
    <col min="7" max="7" width="15.5" bestFit="1" customWidth="1"/>
    <col min="8" max="8" width="21.5" customWidth="1"/>
    <col min="9" max="9" width="14.83203125" bestFit="1" customWidth="1"/>
    <col min="10" max="10" width="16" bestFit="1" customWidth="1"/>
    <col min="11" max="11" width="16.83203125" bestFit="1" customWidth="1"/>
    <col min="12" max="12" width="20.5" bestFit="1" customWidth="1"/>
    <col min="13" max="13" width="12" bestFit="1" customWidth="1"/>
    <col min="14" max="14" width="10" bestFit="1" customWidth="1"/>
    <col min="15" max="15" width="13.83203125" bestFit="1" customWidth="1"/>
    <col min="16" max="16" width="14.33203125" bestFit="1" customWidth="1"/>
    <col min="17" max="19" width="9" bestFit="1" customWidth="1"/>
    <col min="20" max="20" width="22" bestFit="1" customWidth="1"/>
    <col min="21" max="21" width="15.6640625" style="8" bestFit="1" customWidth="1"/>
    <col min="22" max="22" width="17.5" bestFit="1" customWidth="1"/>
    <col min="23" max="23" width="16.83203125" style="8" bestFit="1" customWidth="1"/>
    <col min="24" max="24" width="24.33203125" bestFit="1" customWidth="1"/>
    <col min="25" max="25" width="15.5" bestFit="1" customWidth="1"/>
    <col min="26" max="26" width="22.33203125" bestFit="1" customWidth="1"/>
    <col min="27" max="27" width="15" bestFit="1" customWidth="1"/>
    <col min="28" max="28" width="25.33203125" bestFit="1" customWidth="1"/>
    <col min="29" max="29" width="20.1640625" bestFit="1" customWidth="1"/>
  </cols>
  <sheetData>
    <row r="1" spans="1:30" x14ac:dyDescent="0.2">
      <c r="A1" s="2" t="s">
        <v>0</v>
      </c>
      <c r="B1" s="2" t="s">
        <v>1</v>
      </c>
      <c r="C1" s="2" t="s">
        <v>2</v>
      </c>
      <c r="D1" s="2" t="s">
        <v>38</v>
      </c>
      <c r="E1" s="2" t="s">
        <v>3</v>
      </c>
      <c r="F1" s="2" t="s">
        <v>39</v>
      </c>
      <c r="G1" s="2" t="s">
        <v>40</v>
      </c>
      <c r="H1" s="3" t="s">
        <v>17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</v>
      </c>
      <c r="O1" s="2" t="s">
        <v>5</v>
      </c>
      <c r="P1" s="2" t="s">
        <v>6</v>
      </c>
      <c r="Q1" s="2" t="s">
        <v>7</v>
      </c>
      <c r="R1" s="2" t="s">
        <v>8</v>
      </c>
      <c r="S1" s="2" t="s">
        <v>9</v>
      </c>
      <c r="T1" s="2" t="s">
        <v>10</v>
      </c>
      <c r="U1" s="7" t="s">
        <v>11</v>
      </c>
      <c r="V1" s="2" t="s">
        <v>12</v>
      </c>
      <c r="W1" s="7" t="s">
        <v>13</v>
      </c>
      <c r="X1" s="2" t="s">
        <v>14</v>
      </c>
      <c r="Y1" s="2" t="s">
        <v>15</v>
      </c>
      <c r="Z1" s="2" t="s">
        <v>16</v>
      </c>
      <c r="AA1" s="2" t="s">
        <v>46</v>
      </c>
      <c r="AB1" s="2" t="s">
        <v>47</v>
      </c>
      <c r="AC1" s="1"/>
      <c r="AD1" s="1"/>
    </row>
    <row r="2" spans="1:30" x14ac:dyDescent="0.2">
      <c r="A2" s="4" t="s">
        <v>18</v>
      </c>
      <c r="B2">
        <v>2022</v>
      </c>
      <c r="C2">
        <v>5360878</v>
      </c>
      <c r="D2">
        <v>305588</v>
      </c>
      <c r="E2">
        <v>2733967</v>
      </c>
      <c r="F2">
        <v>37183</v>
      </c>
      <c r="G2">
        <v>3.97</v>
      </c>
      <c r="H2">
        <f>C2/D2</f>
        <v>17.54282890689425</v>
      </c>
      <c r="I2">
        <f>D2/C2</f>
        <v>5.7003349078266659E-2</v>
      </c>
      <c r="J2">
        <v>2.0246401783439198</v>
      </c>
      <c r="K2">
        <f>E2/C2</f>
        <v>0.50998493157277591</v>
      </c>
      <c r="L2">
        <f>F2/C2</f>
        <v>6.9359907089846101E-3</v>
      </c>
      <c r="M2">
        <v>1.4412509980758399</v>
      </c>
      <c r="N2">
        <v>892.46</v>
      </c>
      <c r="O2">
        <v>493.5</v>
      </c>
      <c r="P2" t="s">
        <v>19</v>
      </c>
      <c r="Q2">
        <v>0.115757</v>
      </c>
      <c r="R2">
        <v>6.5989999999999998E-3</v>
      </c>
      <c r="S2">
        <v>11.890243999999999</v>
      </c>
      <c r="T2">
        <v>453123.62</v>
      </c>
      <c r="U2" s="8">
        <v>353738800000</v>
      </c>
      <c r="V2">
        <v>0.73782999999999999</v>
      </c>
      <c r="W2" s="8">
        <v>2360911000000</v>
      </c>
      <c r="X2">
        <v>0</v>
      </c>
      <c r="Y2">
        <v>3.8877249870545052</v>
      </c>
      <c r="Z2">
        <v>0.82834251224994659</v>
      </c>
      <c r="AA2" s="5">
        <v>244250</v>
      </c>
      <c r="AB2">
        <v>0</v>
      </c>
    </row>
    <row r="3" spans="1:30" x14ac:dyDescent="0.2">
      <c r="A3" s="4" t="s">
        <v>18</v>
      </c>
      <c r="B3">
        <v>2023</v>
      </c>
      <c r="C3">
        <v>5954415</v>
      </c>
      <c r="D3">
        <v>358931</v>
      </c>
      <c r="E3">
        <v>3199269</v>
      </c>
      <c r="F3">
        <v>57750</v>
      </c>
      <c r="G3">
        <v>2.78</v>
      </c>
      <c r="H3">
        <f t="shared" ref="H3:H41" si="0">C3/D3</f>
        <v>16.589302679345057</v>
      </c>
      <c r="I3">
        <f t="shared" ref="I3:I41" si="1">D3/C3</f>
        <v>6.027980918360578E-2</v>
      </c>
      <c r="J3">
        <v>1.49367617473757</v>
      </c>
      <c r="K3">
        <f t="shared" ref="K3:K41" si="2">E3/C3</f>
        <v>0.53729358803509664</v>
      </c>
      <c r="L3">
        <f t="shared" ref="L3:L41" si="3">F3/C3</f>
        <v>9.6986857651003497E-3</v>
      </c>
      <c r="M3">
        <v>1.29506169988104</v>
      </c>
      <c r="N3">
        <v>892.46</v>
      </c>
      <c r="O3">
        <v>520.85</v>
      </c>
      <c r="P3" t="s">
        <v>19</v>
      </c>
      <c r="Q3">
        <v>0.15503800000000001</v>
      </c>
      <c r="R3">
        <v>9.3460000000000001E-3</v>
      </c>
      <c r="S3">
        <v>11.890243999999999</v>
      </c>
      <c r="T3">
        <v>507530.98</v>
      </c>
      <c r="U3" s="8">
        <v>556481700000</v>
      </c>
      <c r="V3">
        <v>0.68865799999999999</v>
      </c>
      <c r="W3" s="8">
        <v>2703369000000</v>
      </c>
      <c r="X3">
        <v>1</v>
      </c>
      <c r="Y3">
        <v>4.2080660949464734</v>
      </c>
      <c r="Z3">
        <v>0.80207185943921411</v>
      </c>
      <c r="AA3" s="5">
        <v>235858</v>
      </c>
      <c r="AB3">
        <v>0</v>
      </c>
    </row>
    <row r="4" spans="1:30" x14ac:dyDescent="0.2">
      <c r="A4" s="4" t="s">
        <v>18</v>
      </c>
      <c r="B4">
        <v>2024</v>
      </c>
      <c r="C4">
        <v>6733756</v>
      </c>
      <c r="D4">
        <v>414939</v>
      </c>
      <c r="E4">
        <v>3784273</v>
      </c>
      <c r="F4">
        <v>69543</v>
      </c>
      <c r="G4">
        <v>2.2400000000000002</v>
      </c>
      <c r="H4">
        <f t="shared" si="0"/>
        <v>16.228303437372723</v>
      </c>
      <c r="I4">
        <f>D4/C4</f>
        <v>6.1620735886479996E-2</v>
      </c>
      <c r="J4">
        <v>1.2588474426456799</v>
      </c>
      <c r="K4">
        <f t="shared" si="2"/>
        <v>0.56198546546682115</v>
      </c>
      <c r="L4">
        <f t="shared" si="3"/>
        <v>1.0327520034880978E-2</v>
      </c>
      <c r="M4">
        <v>1.6191389288546001</v>
      </c>
      <c r="N4">
        <v>892.46</v>
      </c>
      <c r="O4">
        <v>752.8</v>
      </c>
      <c r="P4" t="s">
        <v>19</v>
      </c>
      <c r="Q4">
        <v>0.16167300000000001</v>
      </c>
      <c r="R4">
        <v>9.9620000000000004E-3</v>
      </c>
      <c r="S4">
        <v>11.890243999999999</v>
      </c>
      <c r="T4">
        <v>710824.33</v>
      </c>
      <c r="U4" s="8">
        <v>670846700000</v>
      </c>
      <c r="V4">
        <v>0.70706100000000005</v>
      </c>
      <c r="W4" s="8">
        <v>3236135000000</v>
      </c>
      <c r="X4">
        <v>2</v>
      </c>
      <c r="Y4">
        <v>6.3220437481867719</v>
      </c>
      <c r="Z4">
        <v>0.81000623532703941</v>
      </c>
      <c r="AA4" s="5">
        <v>232296</v>
      </c>
      <c r="AB4">
        <v>1</v>
      </c>
    </row>
    <row r="5" spans="1:30" x14ac:dyDescent="0.2">
      <c r="A5" s="4" t="s">
        <v>18</v>
      </c>
      <c r="B5">
        <v>2025</v>
      </c>
      <c r="C5">
        <v>7313730</v>
      </c>
      <c r="D5">
        <v>487036</v>
      </c>
      <c r="E5">
        <v>4250831</v>
      </c>
      <c r="F5">
        <v>80523</v>
      </c>
      <c r="G5">
        <v>1.82</v>
      </c>
      <c r="H5">
        <f t="shared" si="0"/>
        <v>15.016816005387692</v>
      </c>
      <c r="I5">
        <f t="shared" si="1"/>
        <v>6.6592012557204053E-2</v>
      </c>
      <c r="J5">
        <v>1.0578066759369</v>
      </c>
      <c r="K5">
        <f t="shared" si="2"/>
        <v>0.58121245930599019</v>
      </c>
      <c r="L5">
        <f t="shared" si="3"/>
        <v>1.1009840396076968E-2</v>
      </c>
      <c r="M5">
        <v>1.4211420777930199</v>
      </c>
      <c r="N5">
        <v>892.46</v>
      </c>
      <c r="O5">
        <v>775.55</v>
      </c>
      <c r="P5" t="s">
        <v>19</v>
      </c>
      <c r="Q5">
        <v>0.159252</v>
      </c>
      <c r="R5">
        <v>1.0604000000000001E-2</v>
      </c>
      <c r="S5">
        <v>11.890243999999999</v>
      </c>
      <c r="T5">
        <v>757498.48</v>
      </c>
      <c r="U5" s="8">
        <v>775613400000</v>
      </c>
      <c r="V5">
        <v>0.666269</v>
      </c>
      <c r="W5" s="8">
        <v>3495234000000</v>
      </c>
      <c r="X5">
        <v>4</v>
      </c>
      <c r="Y5">
        <v>5.212937642596347</v>
      </c>
      <c r="Z5">
        <v>0.70351234674453733</v>
      </c>
      <c r="AA5" s="5">
        <v>236226</v>
      </c>
      <c r="AB5">
        <v>0</v>
      </c>
    </row>
    <row r="6" spans="1:30" x14ac:dyDescent="0.2">
      <c r="A6" s="4" t="s">
        <v>20</v>
      </c>
      <c r="B6">
        <v>2022</v>
      </c>
      <c r="C6">
        <v>2122934</v>
      </c>
      <c r="D6">
        <v>247327</v>
      </c>
      <c r="E6">
        <v>1420942</v>
      </c>
      <c r="F6">
        <v>38151</v>
      </c>
      <c r="G6">
        <v>1.17</v>
      </c>
      <c r="H6">
        <f t="shared" si="0"/>
        <v>8.5835108985270505</v>
      </c>
      <c r="I6">
        <f t="shared" si="1"/>
        <v>0.11650244425874756</v>
      </c>
      <c r="J6">
        <v>0.78311532058933497</v>
      </c>
      <c r="K6">
        <f t="shared" si="2"/>
        <v>0.66932933383703874</v>
      </c>
      <c r="L6">
        <f t="shared" si="3"/>
        <v>1.7970883692097823E-2</v>
      </c>
      <c r="M6">
        <v>3.30395449142229</v>
      </c>
      <c r="N6">
        <v>554.54999999999995</v>
      </c>
      <c r="O6">
        <v>1473.55</v>
      </c>
      <c r="P6" t="s">
        <v>21</v>
      </c>
      <c r="Q6">
        <v>0.15410199999999999</v>
      </c>
      <c r="R6">
        <v>1.8282E-2</v>
      </c>
      <c r="S6">
        <v>17.749165000000001</v>
      </c>
      <c r="T6">
        <v>1078305.94</v>
      </c>
      <c r="U6" s="8">
        <v>386000400000</v>
      </c>
      <c r="V6">
        <v>0.31412099999999998</v>
      </c>
      <c r="W6" s="8">
        <v>1019414000000</v>
      </c>
      <c r="X6">
        <v>0</v>
      </c>
      <c r="Y6">
        <v>3.7661183388198909</v>
      </c>
      <c r="Z6">
        <v>0.69892052412033079</v>
      </c>
      <c r="AA6" s="6">
        <v>141579</v>
      </c>
      <c r="AB6">
        <v>0</v>
      </c>
    </row>
    <row r="7" spans="1:30" x14ac:dyDescent="0.2">
      <c r="A7" s="4" t="s">
        <v>20</v>
      </c>
      <c r="B7">
        <v>2023</v>
      </c>
      <c r="C7">
        <v>2530432</v>
      </c>
      <c r="D7">
        <v>289438</v>
      </c>
      <c r="E7">
        <v>1660586</v>
      </c>
      <c r="F7">
        <v>46149</v>
      </c>
      <c r="G7">
        <v>1.1200000000000001</v>
      </c>
      <c r="H7">
        <f t="shared" si="0"/>
        <v>8.7425700840940035</v>
      </c>
      <c r="I7">
        <f t="shared" si="1"/>
        <v>0.11438284055845011</v>
      </c>
      <c r="J7">
        <v>0.73499557387829495</v>
      </c>
      <c r="K7">
        <f t="shared" si="2"/>
        <v>0.65624604810561993</v>
      </c>
      <c r="L7">
        <f t="shared" si="3"/>
        <v>1.8237597374677526E-2</v>
      </c>
      <c r="M7">
        <v>3.0961132919658101</v>
      </c>
      <c r="N7">
        <v>558.46</v>
      </c>
      <c r="O7">
        <v>1604.65</v>
      </c>
      <c r="P7" t="s">
        <v>21</v>
      </c>
      <c r="Q7">
        <v>0.170128</v>
      </c>
      <c r="R7">
        <v>1.9236E-2</v>
      </c>
      <c r="S7">
        <v>17.749165000000001</v>
      </c>
      <c r="T7">
        <v>1201151.56</v>
      </c>
      <c r="U7" s="8">
        <v>495446900000</v>
      </c>
      <c r="V7">
        <v>0.33202900000000002</v>
      </c>
      <c r="W7" s="8">
        <v>1205375000000</v>
      </c>
      <c r="X7">
        <v>4</v>
      </c>
      <c r="Y7">
        <v>3.6658318985121578</v>
      </c>
      <c r="Z7">
        <v>0.73565586588599463</v>
      </c>
      <c r="AA7" s="6">
        <v>173222</v>
      </c>
      <c r="AB7">
        <v>0</v>
      </c>
    </row>
    <row r="8" spans="1:30" x14ac:dyDescent="0.2">
      <c r="A8" s="4" t="s">
        <v>20</v>
      </c>
      <c r="B8">
        <v>2024</v>
      </c>
      <c r="C8">
        <v>4030194</v>
      </c>
      <c r="D8">
        <v>456396</v>
      </c>
      <c r="E8">
        <v>2484862</v>
      </c>
      <c r="F8">
        <v>65446</v>
      </c>
      <c r="G8">
        <v>1.24</v>
      </c>
      <c r="H8">
        <f t="shared" si="0"/>
        <v>8.8304761654352806</v>
      </c>
      <c r="I8">
        <f t="shared" si="1"/>
        <v>0.11324417633493573</v>
      </c>
      <c r="J8">
        <v>0.76453611910493602</v>
      </c>
      <c r="K8">
        <f t="shared" si="2"/>
        <v>0.61656138637494873</v>
      </c>
      <c r="L8">
        <f t="shared" si="3"/>
        <v>1.6238920508541276E-2</v>
      </c>
      <c r="M8">
        <v>2.4182456287960501</v>
      </c>
      <c r="N8">
        <v>759.69</v>
      </c>
      <c r="O8">
        <v>1452.8</v>
      </c>
      <c r="P8" t="s">
        <v>21</v>
      </c>
      <c r="Q8">
        <v>8.9624999999999996E-2</v>
      </c>
      <c r="R8">
        <v>1.4113000000000001E-2</v>
      </c>
      <c r="S8">
        <v>17.749165000000001</v>
      </c>
      <c r="T8">
        <v>1217721.79</v>
      </c>
      <c r="U8" s="8">
        <v>622656600000</v>
      </c>
      <c r="V8">
        <v>0.47901100000000002</v>
      </c>
      <c r="W8" s="8">
        <v>1986934000000</v>
      </c>
      <c r="X8">
        <v>5</v>
      </c>
      <c r="Y8">
        <v>7.0786413081750972</v>
      </c>
      <c r="Z8">
        <v>0.8367506128091079</v>
      </c>
      <c r="AA8" s="6">
        <v>213527</v>
      </c>
      <c r="AB8">
        <v>1</v>
      </c>
    </row>
    <row r="9" spans="1:30" x14ac:dyDescent="0.2">
      <c r="A9" s="4" t="s">
        <v>20</v>
      </c>
      <c r="B9">
        <v>2025</v>
      </c>
      <c r="C9">
        <v>4392110</v>
      </c>
      <c r="D9">
        <v>521789</v>
      </c>
      <c r="E9">
        <v>2607781</v>
      </c>
      <c r="F9">
        <v>73440</v>
      </c>
      <c r="G9">
        <v>1.33</v>
      </c>
      <c r="H9">
        <f t="shared" si="0"/>
        <v>8.417406269584065</v>
      </c>
      <c r="I9">
        <f t="shared" si="1"/>
        <v>0.11880144167609645</v>
      </c>
      <c r="J9">
        <v>0.78967710963523197</v>
      </c>
      <c r="K9">
        <f t="shared" si="2"/>
        <v>0.59374218769566334</v>
      </c>
      <c r="L9">
        <f t="shared" si="3"/>
        <v>1.6720892691667558E-2</v>
      </c>
      <c r="M9">
        <v>2.6547696645579002</v>
      </c>
      <c r="N9">
        <v>765.13</v>
      </c>
      <c r="O9">
        <v>1810.45</v>
      </c>
      <c r="P9" t="s">
        <v>21</v>
      </c>
      <c r="Q9">
        <v>8.7732000000000004E-2</v>
      </c>
      <c r="R9">
        <v>1.3977E-2</v>
      </c>
      <c r="S9">
        <v>17.749165000000001</v>
      </c>
      <c r="T9">
        <v>1448649.84</v>
      </c>
      <c r="U9" s="8">
        <v>673508300000</v>
      </c>
      <c r="V9">
        <v>0.61529999999999996</v>
      </c>
      <c r="W9" s="8">
        <v>2371508000000</v>
      </c>
      <c r="X9">
        <v>6</v>
      </c>
      <c r="Y9">
        <v>5.4112317981419382</v>
      </c>
      <c r="Z9">
        <v>0.72232437630494439</v>
      </c>
      <c r="AA9" s="6">
        <v>214521</v>
      </c>
      <c r="AB9">
        <v>1</v>
      </c>
    </row>
    <row r="10" spans="1:30" x14ac:dyDescent="0.2">
      <c r="A10" s="4" t="s">
        <v>22</v>
      </c>
      <c r="B10">
        <v>2022</v>
      </c>
      <c r="C10">
        <v>1752637</v>
      </c>
      <c r="D10">
        <v>182053</v>
      </c>
      <c r="E10">
        <v>859020</v>
      </c>
      <c r="F10">
        <v>26538</v>
      </c>
      <c r="G10">
        <v>3.6</v>
      </c>
      <c r="H10">
        <f t="shared" si="0"/>
        <v>9.6270701389155899</v>
      </c>
      <c r="I10">
        <f t="shared" si="1"/>
        <v>0.10387376279286584</v>
      </c>
      <c r="J10">
        <v>1.76446805584956</v>
      </c>
      <c r="K10">
        <f t="shared" si="2"/>
        <v>0.49013001551376584</v>
      </c>
      <c r="L10">
        <f t="shared" si="3"/>
        <v>1.5141754966944096E-2</v>
      </c>
      <c r="M10">
        <v>2.7998055511307101</v>
      </c>
      <c r="N10">
        <v>695</v>
      </c>
      <c r="O10">
        <v>733.4</v>
      </c>
      <c r="P10" t="s">
        <v>23</v>
      </c>
      <c r="Q10">
        <v>0.14577100000000001</v>
      </c>
      <c r="R10">
        <v>1.5141999999999999E-2</v>
      </c>
      <c r="S10">
        <v>17.117236999999999</v>
      </c>
      <c r="T10">
        <v>562706.07999999996</v>
      </c>
      <c r="U10" s="8">
        <v>260366400000</v>
      </c>
      <c r="V10">
        <v>0.40510000000000002</v>
      </c>
      <c r="W10" s="8">
        <v>1575360000000</v>
      </c>
      <c r="X10">
        <v>2</v>
      </c>
      <c r="Y10">
        <v>4.4255246136396451</v>
      </c>
      <c r="Z10">
        <v>0.73947960138320923</v>
      </c>
      <c r="AA10" s="6">
        <v>130542</v>
      </c>
      <c r="AB10">
        <v>0</v>
      </c>
    </row>
    <row r="11" spans="1:30" x14ac:dyDescent="0.2">
      <c r="A11" s="4" t="s">
        <v>22</v>
      </c>
      <c r="B11">
        <v>2023</v>
      </c>
      <c r="C11">
        <v>1958490</v>
      </c>
      <c r="D11">
        <v>214498</v>
      </c>
      <c r="E11">
        <v>1019638</v>
      </c>
      <c r="F11">
        <v>35461</v>
      </c>
      <c r="G11">
        <v>2.81</v>
      </c>
      <c r="H11">
        <f t="shared" si="0"/>
        <v>9.1305746440526256</v>
      </c>
      <c r="I11">
        <f t="shared" si="1"/>
        <v>0.10952213184647355</v>
      </c>
      <c r="J11">
        <v>1.46295502147062</v>
      </c>
      <c r="K11">
        <f t="shared" si="2"/>
        <v>0.52062456280093339</v>
      </c>
      <c r="L11">
        <f t="shared" si="3"/>
        <v>1.8106296177156891E-2</v>
      </c>
      <c r="M11">
        <v>2.8539445589236299</v>
      </c>
      <c r="N11">
        <v>698.5</v>
      </c>
      <c r="O11">
        <v>876.4</v>
      </c>
      <c r="P11" t="s">
        <v>23</v>
      </c>
      <c r="Q11">
        <v>0.15868099999999999</v>
      </c>
      <c r="R11">
        <v>1.7378999999999999E-2</v>
      </c>
      <c r="S11">
        <v>17.117236999999999</v>
      </c>
      <c r="T11">
        <v>650708.41</v>
      </c>
      <c r="U11" s="8">
        <v>340366400000</v>
      </c>
      <c r="V11">
        <v>0.19081999999999999</v>
      </c>
      <c r="W11" s="8">
        <v>1302385000000</v>
      </c>
      <c r="X11">
        <v>3</v>
      </c>
      <c r="Y11">
        <v>5.0799732898166363</v>
      </c>
      <c r="Z11">
        <v>0.74809552729129791</v>
      </c>
      <c r="AA11" s="6">
        <v>157799</v>
      </c>
      <c r="AB11">
        <v>0</v>
      </c>
    </row>
    <row r="12" spans="1:30" x14ac:dyDescent="0.2">
      <c r="A12" s="4" t="s">
        <v>22</v>
      </c>
      <c r="B12">
        <v>2024</v>
      </c>
      <c r="C12">
        <v>2364063</v>
      </c>
      <c r="D12">
        <v>256144</v>
      </c>
      <c r="E12">
        <v>1184406</v>
      </c>
      <c r="F12">
        <v>46081</v>
      </c>
      <c r="G12">
        <v>2.16</v>
      </c>
      <c r="H12">
        <f t="shared" si="0"/>
        <v>9.2294295396339567</v>
      </c>
      <c r="I12">
        <f t="shared" si="1"/>
        <v>0.10834905837957787</v>
      </c>
      <c r="J12">
        <v>1.0821695360910399</v>
      </c>
      <c r="K12">
        <f t="shared" si="2"/>
        <v>0.50100441485696445</v>
      </c>
      <c r="L12">
        <f t="shared" si="3"/>
        <v>1.9492289334082889E-2</v>
      </c>
      <c r="M12">
        <v>2.9791469837279001</v>
      </c>
      <c r="N12">
        <v>702.5</v>
      </c>
      <c r="O12">
        <v>1086.25</v>
      </c>
      <c r="P12" t="s">
        <v>23</v>
      </c>
      <c r="Q12">
        <v>0.17277899999999999</v>
      </c>
      <c r="R12">
        <v>1.8720000000000001E-2</v>
      </c>
      <c r="S12">
        <v>17.117236999999999</v>
      </c>
      <c r="T12">
        <v>827752.2</v>
      </c>
      <c r="U12" s="8">
        <v>442563700000</v>
      </c>
      <c r="V12">
        <v>0.19040299999999999</v>
      </c>
      <c r="W12" s="8">
        <v>1533820000000</v>
      </c>
      <c r="X12">
        <v>5</v>
      </c>
      <c r="Y12">
        <v>7.4898393774331211</v>
      </c>
      <c r="Z12">
        <v>0.86519757509231565</v>
      </c>
      <c r="AA12" s="6">
        <v>187765</v>
      </c>
      <c r="AB12">
        <v>1</v>
      </c>
    </row>
    <row r="13" spans="1:30" x14ac:dyDescent="0.2">
      <c r="A13" s="4" t="s">
        <v>22</v>
      </c>
      <c r="B13">
        <v>2025</v>
      </c>
      <c r="C13">
        <v>2642241</v>
      </c>
      <c r="D13">
        <v>313906</v>
      </c>
      <c r="E13">
        <v>1350789</v>
      </c>
      <c r="F13">
        <v>54569</v>
      </c>
      <c r="G13">
        <v>1.67</v>
      </c>
      <c r="H13">
        <f t="shared" si="0"/>
        <v>8.4173000834644771</v>
      </c>
      <c r="I13">
        <f t="shared" si="1"/>
        <v>0.11880294038280384</v>
      </c>
      <c r="J13">
        <v>0.85375165626451199</v>
      </c>
      <c r="K13">
        <f t="shared" si="2"/>
        <v>0.51122853668533641</v>
      </c>
      <c r="L13">
        <f t="shared" si="3"/>
        <v>2.0652544563497424E-2</v>
      </c>
      <c r="M13">
        <v>3.0623976604461198</v>
      </c>
      <c r="N13">
        <v>712.5</v>
      </c>
      <c r="O13">
        <v>1349.2</v>
      </c>
      <c r="P13" t="s">
        <v>23</v>
      </c>
      <c r="Q13">
        <v>0.16256200000000001</v>
      </c>
      <c r="R13">
        <v>1.9313E-2</v>
      </c>
      <c r="S13">
        <v>17.117236999999999</v>
      </c>
      <c r="T13">
        <v>975236.84</v>
      </c>
      <c r="U13" s="8">
        <v>510292000000</v>
      </c>
      <c r="V13">
        <v>0.47400500000000001</v>
      </c>
      <c r="W13" s="8">
        <v>2055593000000</v>
      </c>
      <c r="X13">
        <v>2</v>
      </c>
      <c r="Y13">
        <v>6.0813021475048341</v>
      </c>
      <c r="Z13">
        <v>0.69066463708877568</v>
      </c>
      <c r="AA13" s="6">
        <v>182665</v>
      </c>
      <c r="AB13">
        <v>1</v>
      </c>
    </row>
    <row r="14" spans="1:30" x14ac:dyDescent="0.2">
      <c r="A14" s="4" t="s">
        <v>24</v>
      </c>
      <c r="B14">
        <v>2022</v>
      </c>
      <c r="C14">
        <v>1195779</v>
      </c>
      <c r="D14">
        <v>118261</v>
      </c>
      <c r="E14">
        <v>707696</v>
      </c>
      <c r="F14">
        <v>14207</v>
      </c>
      <c r="G14">
        <v>2.82</v>
      </c>
      <c r="H14">
        <f t="shared" si="0"/>
        <v>10.111355391887436</v>
      </c>
      <c r="I14">
        <f t="shared" si="1"/>
        <v>9.8898709544154903E-2</v>
      </c>
      <c r="J14">
        <v>1.6689561532691199</v>
      </c>
      <c r="K14">
        <f t="shared" si="2"/>
        <v>0.59182842314507944</v>
      </c>
      <c r="L14">
        <f t="shared" si="3"/>
        <v>1.1880957936207276E-2</v>
      </c>
      <c r="M14">
        <v>1.9600041010984199</v>
      </c>
      <c r="N14">
        <v>307.05</v>
      </c>
      <c r="O14">
        <v>754.9</v>
      </c>
      <c r="P14" t="s">
        <v>25</v>
      </c>
      <c r="Q14">
        <v>0.120133</v>
      </c>
      <c r="R14">
        <v>1.1880999999999999E-2</v>
      </c>
      <c r="S14">
        <v>15.296412999999999</v>
      </c>
      <c r="T14">
        <v>236602.23999999999</v>
      </c>
      <c r="U14" s="8">
        <v>141190000000</v>
      </c>
      <c r="V14">
        <v>0.48830000000000001</v>
      </c>
      <c r="W14" s="8">
        <v>389890000000</v>
      </c>
      <c r="X14">
        <v>3</v>
      </c>
      <c r="Y14">
        <v>5.4611516901148622</v>
      </c>
      <c r="Z14">
        <v>0.75175682561738155</v>
      </c>
      <c r="AA14" s="5">
        <v>85815</v>
      </c>
      <c r="AB14">
        <v>0</v>
      </c>
    </row>
    <row r="15" spans="1:30" x14ac:dyDescent="0.2">
      <c r="A15" s="4" t="s">
        <v>24</v>
      </c>
      <c r="B15">
        <v>2023</v>
      </c>
      <c r="C15">
        <v>1344418</v>
      </c>
      <c r="D15">
        <v>129781</v>
      </c>
      <c r="E15">
        <v>845303</v>
      </c>
      <c r="F15">
        <v>10919</v>
      </c>
      <c r="G15">
        <v>2.02</v>
      </c>
      <c r="H15">
        <f t="shared" si="0"/>
        <v>10.359128069594162</v>
      </c>
      <c r="I15">
        <f t="shared" si="1"/>
        <v>9.6533221066662303E-2</v>
      </c>
      <c r="J15">
        <v>1.27007527420787</v>
      </c>
      <c r="K15">
        <f t="shared" si="2"/>
        <v>0.62875013574647176</v>
      </c>
      <c r="L15">
        <f t="shared" si="3"/>
        <v>8.1217299976644175E-3</v>
      </c>
      <c r="M15">
        <v>2.0439012567325001</v>
      </c>
      <c r="N15">
        <v>307.69</v>
      </c>
      <c r="O15">
        <v>862.1</v>
      </c>
      <c r="P15" t="s">
        <v>25</v>
      </c>
      <c r="Q15">
        <v>8.3359000000000003E-2</v>
      </c>
      <c r="R15">
        <v>8.0470000000000003E-3</v>
      </c>
      <c r="S15">
        <v>15.296412999999999</v>
      </c>
      <c r="T15">
        <v>295412.59999999998</v>
      </c>
      <c r="U15" s="8">
        <v>108184500000</v>
      </c>
      <c r="V15">
        <v>0.64970799999999995</v>
      </c>
      <c r="W15" s="8">
        <v>624158400000</v>
      </c>
      <c r="X15">
        <v>3</v>
      </c>
      <c r="Y15">
        <v>4.8779575184886452</v>
      </c>
      <c r="Z15">
        <v>0.73718158900737762</v>
      </c>
      <c r="AA15" s="5">
        <v>91898</v>
      </c>
      <c r="AB15">
        <v>0</v>
      </c>
    </row>
    <row r="16" spans="1:30" x14ac:dyDescent="0.2">
      <c r="A16" s="4" t="s">
        <v>24</v>
      </c>
      <c r="B16">
        <v>2024</v>
      </c>
      <c r="C16">
        <v>1518239</v>
      </c>
      <c r="D16">
        <v>157023</v>
      </c>
      <c r="E16">
        <v>965068</v>
      </c>
      <c r="F16">
        <v>26492</v>
      </c>
      <c r="G16">
        <v>1.43</v>
      </c>
      <c r="H16">
        <f t="shared" si="0"/>
        <v>9.6688956394923036</v>
      </c>
      <c r="I16">
        <f t="shared" si="1"/>
        <v>0.10342442790627826</v>
      </c>
      <c r="J16">
        <v>0.908978915704313</v>
      </c>
      <c r="K16">
        <f t="shared" si="2"/>
        <v>0.63564959140161725</v>
      </c>
      <c r="L16">
        <f t="shared" si="3"/>
        <v>1.7449163142298413E-2</v>
      </c>
      <c r="M16">
        <v>2.07934206453832</v>
      </c>
      <c r="N16">
        <v>308.62</v>
      </c>
      <c r="O16">
        <v>1057.95</v>
      </c>
      <c r="P16" t="s">
        <v>25</v>
      </c>
      <c r="Q16">
        <v>0.16803999999999999</v>
      </c>
      <c r="R16">
        <v>1.7378999999999999E-2</v>
      </c>
      <c r="S16">
        <v>15.296412999999999</v>
      </c>
      <c r="T16">
        <v>356422.86</v>
      </c>
      <c r="U16" s="8">
        <v>263862000000</v>
      </c>
      <c r="V16">
        <v>0.49193500000000001</v>
      </c>
      <c r="W16" s="8">
        <v>766030400000</v>
      </c>
      <c r="X16">
        <v>5</v>
      </c>
      <c r="Y16">
        <v>6.8480757780860797</v>
      </c>
      <c r="Z16">
        <v>0.73939322148050579</v>
      </c>
      <c r="AA16" s="5">
        <v>104633</v>
      </c>
      <c r="AB16">
        <v>1</v>
      </c>
    </row>
    <row r="17" spans="1:28" x14ac:dyDescent="0.2">
      <c r="A17" s="4" t="s">
        <v>24</v>
      </c>
      <c r="B17">
        <v>2025</v>
      </c>
      <c r="C17">
        <v>1656963</v>
      </c>
      <c r="D17">
        <v>187235</v>
      </c>
      <c r="E17">
        <v>1066068</v>
      </c>
      <c r="F17">
        <v>28191</v>
      </c>
      <c r="G17">
        <v>1.28</v>
      </c>
      <c r="H17">
        <f t="shared" si="0"/>
        <v>8.849643496141212</v>
      </c>
      <c r="I17">
        <f t="shared" si="1"/>
        <v>0.11299890220843797</v>
      </c>
      <c r="J17">
        <v>0.82353500953250003</v>
      </c>
      <c r="K17">
        <f t="shared" si="2"/>
        <v>0.64338672619726567</v>
      </c>
      <c r="L17">
        <f t="shared" si="3"/>
        <v>1.7013656913280502E-2</v>
      </c>
      <c r="M17">
        <v>1.7947081475151501</v>
      </c>
      <c r="N17">
        <v>309.64999999999998</v>
      </c>
      <c r="O17">
        <v>1085.2</v>
      </c>
      <c r="P17" t="s">
        <v>25</v>
      </c>
      <c r="Q17">
        <v>0.149839</v>
      </c>
      <c r="R17">
        <v>1.6931999999999999E-2</v>
      </c>
      <c r="S17">
        <v>15.296412999999999</v>
      </c>
      <c r="T17">
        <v>353254.32</v>
      </c>
      <c r="U17" s="8">
        <v>280551100000</v>
      </c>
      <c r="V17">
        <v>0.47115699999999999</v>
      </c>
      <c r="W17" s="8">
        <v>848805500000</v>
      </c>
      <c r="X17">
        <v>6</v>
      </c>
      <c r="Y17">
        <v>4.388051343556107</v>
      </c>
      <c r="Z17">
        <v>0.75122044366948748</v>
      </c>
      <c r="AA17" s="5">
        <v>104453</v>
      </c>
      <c r="AB17">
        <v>1</v>
      </c>
    </row>
    <row r="18" spans="1:28" x14ac:dyDescent="0.2">
      <c r="A18" s="4" t="s">
        <v>26</v>
      </c>
      <c r="B18">
        <v>2022</v>
      </c>
      <c r="C18">
        <v>546498</v>
      </c>
      <c r="D18">
        <v>96665</v>
      </c>
      <c r="E18">
        <v>271254</v>
      </c>
      <c r="F18">
        <v>12089</v>
      </c>
      <c r="G18">
        <v>2.34</v>
      </c>
      <c r="H18">
        <f t="shared" si="0"/>
        <v>5.6535250607769099</v>
      </c>
      <c r="I18">
        <f t="shared" si="1"/>
        <v>0.17688079370830267</v>
      </c>
      <c r="J18">
        <v>1.1614577912453501</v>
      </c>
      <c r="K18">
        <f t="shared" si="2"/>
        <v>0.49634948343818275</v>
      </c>
      <c r="L18">
        <f t="shared" si="3"/>
        <v>2.2120849481608348E-2</v>
      </c>
      <c r="M18">
        <v>3.60432206072519</v>
      </c>
      <c r="N18">
        <v>198.48</v>
      </c>
      <c r="O18">
        <v>1755.4</v>
      </c>
      <c r="P18" t="s">
        <v>27</v>
      </c>
      <c r="Q18">
        <v>0.124421</v>
      </c>
      <c r="R18">
        <v>2.2121999999999999E-2</v>
      </c>
      <c r="S18">
        <v>19.566787999999999</v>
      </c>
      <c r="T18">
        <v>363360.52</v>
      </c>
      <c r="U18" s="8">
        <v>120893900000</v>
      </c>
      <c r="V18">
        <v>0.64030200000000004</v>
      </c>
      <c r="W18" s="8">
        <v>459723500000</v>
      </c>
      <c r="X18">
        <v>0</v>
      </c>
      <c r="Y18">
        <v>1.9074017899981139</v>
      </c>
      <c r="Z18">
        <v>0.92364209890365601</v>
      </c>
      <c r="AA18" s="5">
        <v>90000</v>
      </c>
      <c r="AB18">
        <v>0</v>
      </c>
    </row>
    <row r="19" spans="1:28" x14ac:dyDescent="0.2">
      <c r="A19" s="4" t="s">
        <v>26</v>
      </c>
      <c r="B19">
        <v>2023</v>
      </c>
      <c r="C19">
        <v>620430</v>
      </c>
      <c r="D19">
        <v>111814</v>
      </c>
      <c r="E19">
        <v>319861</v>
      </c>
      <c r="F19">
        <v>14925</v>
      </c>
      <c r="G19">
        <v>1.78</v>
      </c>
      <c r="H19">
        <f t="shared" si="0"/>
        <v>5.5487684905289143</v>
      </c>
      <c r="I19">
        <f t="shared" si="1"/>
        <v>0.18022016988217848</v>
      </c>
      <c r="J19">
        <v>0.91767416146865899</v>
      </c>
      <c r="K19">
        <f t="shared" si="2"/>
        <v>0.51554728172396569</v>
      </c>
      <c r="L19">
        <f t="shared" si="3"/>
        <v>2.4055896716793191E-2</v>
      </c>
      <c r="M19">
        <v>3.05143509757275</v>
      </c>
      <c r="N19">
        <v>198.68</v>
      </c>
      <c r="O19">
        <v>1717.3</v>
      </c>
      <c r="P19" t="s">
        <v>27</v>
      </c>
      <c r="Q19">
        <v>0.132886</v>
      </c>
      <c r="R19">
        <v>2.4056000000000001E-2</v>
      </c>
      <c r="S19">
        <v>19.566787999999999</v>
      </c>
      <c r="T19">
        <v>358927.95</v>
      </c>
      <c r="U19" s="8">
        <v>149250100000</v>
      </c>
      <c r="V19">
        <v>0.61861299999999997</v>
      </c>
      <c r="W19" s="8">
        <v>518572500000</v>
      </c>
      <c r="X19">
        <v>0</v>
      </c>
      <c r="Y19">
        <v>1.008500423589781</v>
      </c>
      <c r="Z19">
        <v>0.69077044725418091</v>
      </c>
      <c r="AA19" s="5">
        <v>103317</v>
      </c>
      <c r="AB19">
        <v>0</v>
      </c>
    </row>
    <row r="20" spans="1:28" x14ac:dyDescent="0.2">
      <c r="A20" s="4" t="s">
        <v>26</v>
      </c>
      <c r="B20">
        <v>2024</v>
      </c>
      <c r="C20">
        <v>767667</v>
      </c>
      <c r="D20">
        <v>129972</v>
      </c>
      <c r="E20">
        <v>391729</v>
      </c>
      <c r="F20">
        <v>18213</v>
      </c>
      <c r="G20">
        <v>1.39</v>
      </c>
      <c r="H20">
        <f t="shared" si="0"/>
        <v>5.906402917551473</v>
      </c>
      <c r="I20">
        <f t="shared" si="1"/>
        <v>0.16930778579774824</v>
      </c>
      <c r="J20">
        <v>0.70929623130862696</v>
      </c>
      <c r="K20">
        <f t="shared" si="2"/>
        <v>0.51028505849541528</v>
      </c>
      <c r="L20">
        <f t="shared" si="3"/>
        <v>2.3725130818440809E-2</v>
      </c>
      <c r="M20">
        <v>2.6856067306804499</v>
      </c>
      <c r="N20">
        <v>198.84</v>
      </c>
      <c r="O20">
        <v>1755.45</v>
      </c>
      <c r="P20" t="s">
        <v>27</v>
      </c>
      <c r="Q20">
        <v>0.14013200000000001</v>
      </c>
      <c r="R20">
        <v>2.3725E-2</v>
      </c>
      <c r="S20">
        <v>19.566787999999999</v>
      </c>
      <c r="T20">
        <v>351844.82</v>
      </c>
      <c r="U20" s="8">
        <v>182132100000</v>
      </c>
      <c r="V20">
        <v>0.636019</v>
      </c>
      <c r="W20" s="8">
        <v>696696000000</v>
      </c>
      <c r="X20">
        <v>0</v>
      </c>
      <c r="Y20">
        <v>7.0094480514490316</v>
      </c>
      <c r="Z20">
        <v>0.92403921484947205</v>
      </c>
      <c r="AA20" s="5">
        <v>116000</v>
      </c>
      <c r="AB20">
        <v>1</v>
      </c>
    </row>
    <row r="21" spans="1:28" x14ac:dyDescent="0.2">
      <c r="A21" s="4" t="s">
        <v>26</v>
      </c>
      <c r="B21">
        <v>2025</v>
      </c>
      <c r="C21">
        <v>879774</v>
      </c>
      <c r="D21">
        <v>157489</v>
      </c>
      <c r="E21">
        <v>446385</v>
      </c>
      <c r="F21">
        <v>22126</v>
      </c>
      <c r="G21">
        <v>1.42</v>
      </c>
      <c r="H21">
        <f t="shared" si="0"/>
        <v>5.5862568179364906</v>
      </c>
      <c r="I21">
        <f t="shared" si="1"/>
        <v>0.17901074594157135</v>
      </c>
      <c r="J21">
        <v>0.72048810262635599</v>
      </c>
      <c r="K21">
        <f t="shared" si="2"/>
        <v>0.50738598776503963</v>
      </c>
      <c r="L21">
        <f t="shared" si="3"/>
        <v>2.5149640703180591E-2</v>
      </c>
      <c r="M21">
        <v>2.7381864765158199</v>
      </c>
      <c r="N21">
        <v>198.84</v>
      </c>
      <c r="O21">
        <v>2168.75</v>
      </c>
      <c r="P21" t="s">
        <v>27</v>
      </c>
      <c r="Q21">
        <v>0.14049200000000001</v>
      </c>
      <c r="R21">
        <v>2.5149999999999999E-2</v>
      </c>
      <c r="S21">
        <v>19.566787999999999</v>
      </c>
      <c r="T21">
        <v>409216.31</v>
      </c>
      <c r="U21" s="8">
        <v>221259900000</v>
      </c>
      <c r="V21">
        <v>0.57714600000000005</v>
      </c>
      <c r="W21" s="8">
        <v>762853100000</v>
      </c>
      <c r="X21">
        <v>3</v>
      </c>
      <c r="Y21">
        <v>4.0659145508031536</v>
      </c>
      <c r="Z21">
        <v>0.74877162774403894</v>
      </c>
      <c r="AA21" s="5">
        <v>114000</v>
      </c>
      <c r="AB21">
        <v>0</v>
      </c>
    </row>
    <row r="22" spans="1:28" x14ac:dyDescent="0.2">
      <c r="A22" s="4" t="s">
        <v>28</v>
      </c>
      <c r="B22">
        <v>2022</v>
      </c>
      <c r="C22">
        <v>1339301</v>
      </c>
      <c r="D22">
        <v>97582</v>
      </c>
      <c r="E22">
        <v>717263</v>
      </c>
      <c r="F22">
        <v>3908</v>
      </c>
      <c r="G22">
        <v>11.78</v>
      </c>
      <c r="H22">
        <f t="shared" si="0"/>
        <v>13.72487753889037</v>
      </c>
      <c r="I22">
        <f t="shared" si="1"/>
        <v>7.2860395086690746E-2</v>
      </c>
      <c r="J22">
        <v>6.30878207363393</v>
      </c>
      <c r="K22">
        <f t="shared" si="2"/>
        <v>0.53555026091968871</v>
      </c>
      <c r="L22">
        <f t="shared" si="3"/>
        <v>2.9179400299111252E-3</v>
      </c>
      <c r="M22">
        <v>0.40047093726302002</v>
      </c>
      <c r="N22">
        <v>1100.81</v>
      </c>
      <c r="O22">
        <v>35.5</v>
      </c>
      <c r="P22" t="s">
        <v>29</v>
      </c>
      <c r="Q22">
        <v>3.9564000000000002E-2</v>
      </c>
      <c r="R22">
        <v>2.8830000000000001E-3</v>
      </c>
      <c r="S22">
        <v>6.819375</v>
      </c>
      <c r="T22">
        <v>41001.79</v>
      </c>
      <c r="U22" s="8">
        <v>38607400000</v>
      </c>
      <c r="V22">
        <v>0.51493</v>
      </c>
      <c r="W22" s="8">
        <v>411535100000</v>
      </c>
      <c r="X22">
        <v>0</v>
      </c>
      <c r="Y22">
        <v>4.6340694599711156</v>
      </c>
      <c r="Z22">
        <v>0.77995290358861291</v>
      </c>
      <c r="AA22" s="5">
        <v>103144</v>
      </c>
      <c r="AB22">
        <v>0</v>
      </c>
    </row>
    <row r="23" spans="1:28" x14ac:dyDescent="0.2">
      <c r="A23" s="4" t="s">
        <v>28</v>
      </c>
      <c r="B23">
        <v>2023</v>
      </c>
      <c r="C23">
        <v>1493649</v>
      </c>
      <c r="D23">
        <v>102880</v>
      </c>
      <c r="E23">
        <v>818906</v>
      </c>
      <c r="F23">
        <v>3359</v>
      </c>
      <c r="G23">
        <v>8.74</v>
      </c>
      <c r="H23">
        <f t="shared" si="0"/>
        <v>14.518361197511664</v>
      </c>
      <c r="I23">
        <f t="shared" si="1"/>
        <v>6.8878297377764117E-2</v>
      </c>
      <c r="J23">
        <v>4.79178069278659</v>
      </c>
      <c r="K23">
        <f t="shared" si="2"/>
        <v>0.54825866050189842</v>
      </c>
      <c r="L23">
        <f t="shared" si="3"/>
        <v>2.2488549853412684E-3</v>
      </c>
      <c r="M23">
        <v>0.49540729976671899</v>
      </c>
      <c r="N23">
        <v>1100.81</v>
      </c>
      <c r="O23">
        <v>46.3</v>
      </c>
      <c r="P23" t="s">
        <v>29</v>
      </c>
      <c r="Q23">
        <v>3.2547E-2</v>
      </c>
      <c r="R23">
        <v>2.2420000000000001E-3</v>
      </c>
      <c r="S23">
        <v>6.819375</v>
      </c>
      <c r="T23">
        <v>67750.899999999994</v>
      </c>
      <c r="U23" s="8">
        <v>33484500000</v>
      </c>
      <c r="V23">
        <v>0.52276800000000001</v>
      </c>
      <c r="W23" s="8">
        <v>470921000000</v>
      </c>
      <c r="X23">
        <v>1</v>
      </c>
      <c r="Y23">
        <v>3.908749473260742</v>
      </c>
      <c r="Z23">
        <v>0.74557396769523621</v>
      </c>
      <c r="AA23" s="5">
        <v>104120</v>
      </c>
      <c r="AB23">
        <v>0</v>
      </c>
    </row>
    <row r="24" spans="1:28" x14ac:dyDescent="0.2">
      <c r="A24" s="4" t="s">
        <v>28</v>
      </c>
      <c r="B24">
        <v>2024</v>
      </c>
      <c r="C24">
        <v>1598636</v>
      </c>
      <c r="D24">
        <v>110387</v>
      </c>
      <c r="E24">
        <v>933562</v>
      </c>
      <c r="F24">
        <v>9157</v>
      </c>
      <c r="G24">
        <v>5.73</v>
      </c>
      <c r="H24">
        <f t="shared" si="0"/>
        <v>14.48210387092683</v>
      </c>
      <c r="I24">
        <f t="shared" si="1"/>
        <v>6.9050740756494908E-2</v>
      </c>
      <c r="J24">
        <v>3.3461715237239802</v>
      </c>
      <c r="K24">
        <f t="shared" si="2"/>
        <v>0.58397408790994321</v>
      </c>
      <c r="L24">
        <f t="shared" si="3"/>
        <v>5.7280081269282064E-3</v>
      </c>
      <c r="M24">
        <v>1.2684739326188801</v>
      </c>
      <c r="N24">
        <v>1100.81</v>
      </c>
      <c r="O24">
        <v>127.2</v>
      </c>
      <c r="P24" t="s">
        <v>29</v>
      </c>
      <c r="Q24">
        <v>8.2503000000000007E-2</v>
      </c>
      <c r="R24">
        <v>5.6969999999999998E-3</v>
      </c>
      <c r="S24">
        <v>6.819375</v>
      </c>
      <c r="T24">
        <v>128459.01</v>
      </c>
      <c r="U24" s="8">
        <v>91072000000</v>
      </c>
      <c r="V24">
        <v>0.53577399999999997</v>
      </c>
      <c r="W24" s="8">
        <v>552605200000</v>
      </c>
      <c r="X24">
        <v>3</v>
      </c>
      <c r="Y24">
        <v>3.8797137848139318</v>
      </c>
      <c r="Z24">
        <v>0.71335041895508766</v>
      </c>
      <c r="AA24" s="5">
        <v>102349</v>
      </c>
      <c r="AB24">
        <v>0</v>
      </c>
    </row>
    <row r="25" spans="1:28" x14ac:dyDescent="0.2">
      <c r="A25" s="4" t="s">
        <v>28</v>
      </c>
      <c r="B25">
        <v>2025</v>
      </c>
      <c r="C25">
        <v>1857544</v>
      </c>
      <c r="D25">
        <v>133138</v>
      </c>
      <c r="E25">
        <v>1077526</v>
      </c>
      <c r="F25">
        <v>18553</v>
      </c>
      <c r="G25">
        <v>3.95</v>
      </c>
      <c r="H25">
        <f t="shared" si="0"/>
        <v>13.9520197088735</v>
      </c>
      <c r="I25">
        <f t="shared" si="1"/>
        <v>7.1674210678185815E-2</v>
      </c>
      <c r="J25">
        <v>2.2913199902667198</v>
      </c>
      <c r="K25">
        <f t="shared" si="2"/>
        <v>0.58008101019410574</v>
      </c>
      <c r="L25">
        <f t="shared" si="3"/>
        <v>9.9879195324579124E-3</v>
      </c>
      <c r="M25">
        <v>0.81238625336117398</v>
      </c>
      <c r="N25">
        <v>1149.4100000000001</v>
      </c>
      <c r="O25">
        <v>94.1</v>
      </c>
      <c r="P25" t="s">
        <v>29</v>
      </c>
      <c r="Q25">
        <v>0.13880600000000001</v>
      </c>
      <c r="R25">
        <v>9.9489999999999995E-3</v>
      </c>
      <c r="S25">
        <v>6.819375</v>
      </c>
      <c r="T25">
        <v>120851.64</v>
      </c>
      <c r="U25" s="8">
        <v>184802900000</v>
      </c>
      <c r="V25">
        <v>0.54493599999999998</v>
      </c>
      <c r="W25" s="8">
        <v>597605500000</v>
      </c>
      <c r="X25">
        <v>2</v>
      </c>
      <c r="Y25">
        <v>3.9448860404974821</v>
      </c>
      <c r="Z25">
        <v>0.63137978315353394</v>
      </c>
      <c r="AA25" s="5">
        <v>102746</v>
      </c>
      <c r="AB25">
        <v>1</v>
      </c>
    </row>
    <row r="26" spans="1:28" x14ac:dyDescent="0.2">
      <c r="A26" s="4" t="s">
        <v>30</v>
      </c>
      <c r="B26">
        <v>2022</v>
      </c>
      <c r="C26">
        <v>1277998</v>
      </c>
      <c r="D26">
        <v>76010</v>
      </c>
      <c r="E26">
        <v>793760</v>
      </c>
      <c r="F26">
        <v>7700</v>
      </c>
      <c r="G26">
        <v>6.61</v>
      </c>
      <c r="H26">
        <f t="shared" si="0"/>
        <v>16.813550848572557</v>
      </c>
      <c r="I26">
        <f t="shared" si="1"/>
        <v>5.9475836425409115E-2</v>
      </c>
      <c r="J26">
        <v>4.1054474263653002</v>
      </c>
      <c r="K26">
        <f t="shared" si="2"/>
        <v>0.62109643364074119</v>
      </c>
      <c r="L26">
        <f t="shared" si="3"/>
        <v>6.0250485525016467E-3</v>
      </c>
      <c r="M26">
        <v>0.75477460202604896</v>
      </c>
      <c r="N26">
        <v>517.54999999999995</v>
      </c>
      <c r="O26">
        <v>110.85</v>
      </c>
      <c r="P26" t="s">
        <v>31</v>
      </c>
      <c r="Q26">
        <v>8.5444999999999993E-2</v>
      </c>
      <c r="R26">
        <v>5.8570000000000002E-3</v>
      </c>
      <c r="S26">
        <v>7.1806109999999999</v>
      </c>
      <c r="T26">
        <v>57368.88</v>
      </c>
      <c r="U26" s="8">
        <v>78496920000</v>
      </c>
      <c r="V26">
        <v>0.54194799999999999</v>
      </c>
      <c r="W26" s="8">
        <v>483927400000</v>
      </c>
      <c r="X26">
        <v>0</v>
      </c>
      <c r="Y26">
        <v>5.84</v>
      </c>
      <c r="Z26">
        <v>0.81</v>
      </c>
      <c r="AA26" s="5">
        <v>79806</v>
      </c>
      <c r="AB26">
        <v>0</v>
      </c>
    </row>
    <row r="27" spans="1:28" x14ac:dyDescent="0.2">
      <c r="A27" s="4" t="s">
        <v>30</v>
      </c>
      <c r="B27">
        <v>2023</v>
      </c>
      <c r="C27">
        <v>1466930</v>
      </c>
      <c r="D27">
        <v>92539</v>
      </c>
      <c r="E27">
        <v>942580</v>
      </c>
      <c r="F27">
        <v>14905</v>
      </c>
      <c r="G27">
        <v>3.79</v>
      </c>
      <c r="H27">
        <f t="shared" si="0"/>
        <v>15.852019148683258</v>
      </c>
      <c r="I27">
        <f t="shared" si="1"/>
        <v>6.308344638121792E-2</v>
      </c>
      <c r="J27">
        <v>2.4352751665042001</v>
      </c>
      <c r="K27">
        <f t="shared" si="2"/>
        <v>0.64255281438105427</v>
      </c>
      <c r="L27">
        <f t="shared" si="3"/>
        <v>1.0160675696863518E-2</v>
      </c>
      <c r="M27">
        <v>0.92644352651314599</v>
      </c>
      <c r="N27">
        <v>517.54999999999995</v>
      </c>
      <c r="O27">
        <v>165.65</v>
      </c>
      <c r="P27" t="s">
        <v>31</v>
      </c>
      <c r="Q27">
        <v>0.14188000000000001</v>
      </c>
      <c r="R27">
        <v>9.7680000000000006E-3</v>
      </c>
      <c r="S27">
        <v>7.1806109999999999</v>
      </c>
      <c r="T27">
        <v>90951.37</v>
      </c>
      <c r="U27" s="8">
        <v>149052000000</v>
      </c>
      <c r="V27">
        <v>0.59902500000000003</v>
      </c>
      <c r="W27" s="8">
        <v>557910600000</v>
      </c>
      <c r="X27">
        <v>0</v>
      </c>
      <c r="Y27">
        <v>6.44</v>
      </c>
      <c r="Z27">
        <v>0.84</v>
      </c>
      <c r="AA27" s="5">
        <v>78122</v>
      </c>
      <c r="AB27">
        <v>0</v>
      </c>
    </row>
    <row r="28" spans="1:28" x14ac:dyDescent="0.2">
      <c r="A28" s="4" t="s">
        <v>30</v>
      </c>
      <c r="B28">
        <v>2024</v>
      </c>
      <c r="C28">
        <v>1591658</v>
      </c>
      <c r="D28">
        <v>105948</v>
      </c>
      <c r="E28">
        <v>1065781</v>
      </c>
      <c r="F28">
        <v>18764</v>
      </c>
      <c r="G28">
        <v>2.92</v>
      </c>
      <c r="H28">
        <f t="shared" si="0"/>
        <v>15.023011288556651</v>
      </c>
      <c r="I28">
        <f t="shared" si="1"/>
        <v>6.6564550927397714E-2</v>
      </c>
      <c r="J28">
        <v>1.9552444809123599</v>
      </c>
      <c r="K28">
        <f t="shared" si="2"/>
        <v>0.66960427428505365</v>
      </c>
      <c r="L28">
        <f t="shared" si="3"/>
        <v>1.1788964714781693E-2</v>
      </c>
      <c r="M28">
        <v>1.2928003124174099</v>
      </c>
      <c r="N28">
        <v>517.54999999999995</v>
      </c>
      <c r="O28">
        <v>264.64999999999998</v>
      </c>
      <c r="P28" t="s">
        <v>31</v>
      </c>
      <c r="Q28">
        <v>0.15677099999999999</v>
      </c>
      <c r="R28">
        <v>1.1341E-2</v>
      </c>
      <c r="S28">
        <v>7.1806109999999999</v>
      </c>
      <c r="T28">
        <v>125659.6</v>
      </c>
      <c r="U28" s="8">
        <v>187673800000</v>
      </c>
      <c r="V28">
        <v>0.58763299999999996</v>
      </c>
      <c r="W28" s="8">
        <v>679012700000</v>
      </c>
      <c r="X28">
        <v>0</v>
      </c>
      <c r="Y28">
        <v>7.18</v>
      </c>
      <c r="Z28">
        <v>0.87</v>
      </c>
      <c r="AA28" s="5">
        <v>75515</v>
      </c>
      <c r="AB28">
        <v>0</v>
      </c>
    </row>
    <row r="29" spans="1:28" x14ac:dyDescent="0.2">
      <c r="A29" s="4" t="s">
        <v>30</v>
      </c>
      <c r="B29">
        <v>2025</v>
      </c>
      <c r="C29">
        <v>1817099</v>
      </c>
      <c r="D29">
        <v>124580</v>
      </c>
      <c r="E29">
        <v>1147474</v>
      </c>
      <c r="F29">
        <v>19394</v>
      </c>
      <c r="G29">
        <v>2.2599999999999998</v>
      </c>
      <c r="H29">
        <f t="shared" si="0"/>
        <v>14.585800288970942</v>
      </c>
      <c r="I29">
        <f t="shared" si="1"/>
        <v>6.8559830807237251E-2</v>
      </c>
      <c r="J29">
        <v>1.42716012721376</v>
      </c>
      <c r="K29">
        <f t="shared" si="2"/>
        <v>0.63148678195299213</v>
      </c>
      <c r="L29">
        <f t="shared" si="3"/>
        <v>1.0673056338702514E-2</v>
      </c>
      <c r="M29">
        <v>0.94116995103547896</v>
      </c>
      <c r="N29">
        <v>517.54999999999995</v>
      </c>
      <c r="O29">
        <v>226.55</v>
      </c>
      <c r="P29" t="s">
        <v>31</v>
      </c>
      <c r="Q29">
        <v>0.141406</v>
      </c>
      <c r="R29">
        <v>1.1127E-2</v>
      </c>
      <c r="S29">
        <v>7.1806109999999999</v>
      </c>
      <c r="T29">
        <v>125157.55</v>
      </c>
      <c r="U29" s="8">
        <v>207163300000</v>
      </c>
      <c r="V29">
        <v>0.58832600000000002</v>
      </c>
      <c r="W29" s="8">
        <v>696790700000</v>
      </c>
      <c r="X29">
        <v>0</v>
      </c>
      <c r="Y29">
        <v>8.0299999999999994</v>
      </c>
      <c r="Z29">
        <v>0.9</v>
      </c>
      <c r="AA29" s="5">
        <v>75008</v>
      </c>
      <c r="AB29">
        <v>1</v>
      </c>
    </row>
    <row r="30" spans="1:28" x14ac:dyDescent="0.2">
      <c r="A30" s="4" t="s">
        <v>32</v>
      </c>
      <c r="B30">
        <v>2022</v>
      </c>
      <c r="C30">
        <v>401975</v>
      </c>
      <c r="D30">
        <v>47672</v>
      </c>
      <c r="E30">
        <v>239052</v>
      </c>
      <c r="F30">
        <v>4805</v>
      </c>
      <c r="G30">
        <v>2.27</v>
      </c>
      <c r="H30">
        <f t="shared" si="0"/>
        <v>8.4320985064608163</v>
      </c>
      <c r="I30">
        <f t="shared" si="1"/>
        <v>0.11859443995273337</v>
      </c>
      <c r="J30">
        <v>1.3499546986752899</v>
      </c>
      <c r="K30">
        <f t="shared" si="2"/>
        <v>0.5946936998569563</v>
      </c>
      <c r="L30">
        <f t="shared" si="3"/>
        <v>1.1953479694010822E-2</v>
      </c>
      <c r="M30">
        <v>1.50883864742406</v>
      </c>
      <c r="N30">
        <v>77.459999999999994</v>
      </c>
      <c r="O30">
        <v>928.6</v>
      </c>
      <c r="P30" t="s">
        <v>33</v>
      </c>
      <c r="Q30">
        <v>0.10079299999999999</v>
      </c>
      <c r="R30">
        <v>1.1953E-2</v>
      </c>
      <c r="S30">
        <v>82.630889999999994</v>
      </c>
      <c r="T30">
        <v>76902.600000000006</v>
      </c>
      <c r="U30" s="8">
        <v>48054950000</v>
      </c>
      <c r="V30">
        <v>0.40510000000000002</v>
      </c>
      <c r="W30" s="8">
        <v>224084000000</v>
      </c>
      <c r="X30">
        <v>1</v>
      </c>
      <c r="Y30">
        <v>6.4353509757345426</v>
      </c>
      <c r="Z30">
        <v>0.90033435821533203</v>
      </c>
      <c r="AA30" s="5">
        <v>33582</v>
      </c>
      <c r="AB30">
        <v>0</v>
      </c>
    </row>
    <row r="31" spans="1:28" x14ac:dyDescent="0.2">
      <c r="A31" s="4" t="s">
        <v>32</v>
      </c>
      <c r="B31">
        <v>2023</v>
      </c>
      <c r="C31">
        <v>457840</v>
      </c>
      <c r="D31">
        <v>56593</v>
      </c>
      <c r="E31">
        <v>289924</v>
      </c>
      <c r="F31">
        <v>7443</v>
      </c>
      <c r="G31">
        <v>1.98</v>
      </c>
      <c r="H31">
        <f t="shared" si="0"/>
        <v>8.0900464721785372</v>
      </c>
      <c r="I31">
        <f t="shared" si="1"/>
        <v>0.12360868425650882</v>
      </c>
      <c r="J31">
        <v>1.25382124759741</v>
      </c>
      <c r="K31">
        <f t="shared" si="2"/>
        <v>0.63324305434212824</v>
      </c>
      <c r="L31">
        <f t="shared" si="3"/>
        <v>1.6256770924340382E-2</v>
      </c>
      <c r="M31">
        <v>1.47018138285654</v>
      </c>
      <c r="N31">
        <v>77.650000000000006</v>
      </c>
      <c r="O31">
        <v>1071.5</v>
      </c>
      <c r="P31" t="s">
        <v>33</v>
      </c>
      <c r="Q31">
        <v>0.135325</v>
      </c>
      <c r="R31">
        <v>1.6258000000000002E-2</v>
      </c>
      <c r="S31">
        <v>82.630889999999994</v>
      </c>
      <c r="T31">
        <v>100506.34</v>
      </c>
      <c r="U31" s="8">
        <v>74434980000</v>
      </c>
      <c r="V31">
        <v>0.45733099999999999</v>
      </c>
      <c r="W31" s="8">
        <v>254676800000</v>
      </c>
      <c r="X31">
        <v>2</v>
      </c>
      <c r="Y31">
        <v>6.0503525955246431</v>
      </c>
      <c r="Z31">
        <v>0.76232484579086301</v>
      </c>
      <c r="AA31" s="5">
        <v>38179</v>
      </c>
      <c r="AB31">
        <v>1</v>
      </c>
    </row>
    <row r="32" spans="1:28" x14ac:dyDescent="0.2">
      <c r="A32" s="4" t="s">
        <v>32</v>
      </c>
      <c r="B32">
        <v>2024</v>
      </c>
      <c r="C32">
        <v>515090</v>
      </c>
      <c r="D32">
        <v>63307</v>
      </c>
      <c r="E32">
        <v>343298</v>
      </c>
      <c r="F32">
        <v>8977</v>
      </c>
      <c r="G32">
        <v>1.92</v>
      </c>
      <c r="H32">
        <f t="shared" si="0"/>
        <v>8.1363830224145826</v>
      </c>
      <c r="I32">
        <f t="shared" si="1"/>
        <v>0.12290473509483779</v>
      </c>
      <c r="J32">
        <v>1.2796446446252101</v>
      </c>
      <c r="K32">
        <f t="shared" si="2"/>
        <v>0.66648158574229743</v>
      </c>
      <c r="L32">
        <f t="shared" si="3"/>
        <v>1.7428022287367256E-2</v>
      </c>
      <c r="M32">
        <v>1.82695865386134</v>
      </c>
      <c r="N32">
        <v>77.83</v>
      </c>
      <c r="O32">
        <v>1486.05</v>
      </c>
      <c r="P32" t="s">
        <v>33</v>
      </c>
      <c r="Q32">
        <v>0.14202899999999999</v>
      </c>
      <c r="R32">
        <v>1.7427999999999999E-2</v>
      </c>
      <c r="S32">
        <v>82.630889999999994</v>
      </c>
      <c r="T32">
        <v>107037.88</v>
      </c>
      <c r="U32" s="8">
        <v>89773000000</v>
      </c>
      <c r="V32">
        <v>0.48868400000000001</v>
      </c>
      <c r="W32" s="8">
        <v>294653800000</v>
      </c>
      <c r="X32">
        <v>0</v>
      </c>
      <c r="Y32">
        <v>12.72378317138203</v>
      </c>
      <c r="Z32">
        <v>0.93210077285766602</v>
      </c>
      <c r="AA32" s="5">
        <v>45637</v>
      </c>
      <c r="AB32">
        <v>1</v>
      </c>
    </row>
    <row r="33" spans="1:28" x14ac:dyDescent="0.2">
      <c r="A33" s="4" t="s">
        <v>32</v>
      </c>
      <c r="B33">
        <v>2025</v>
      </c>
      <c r="C33">
        <v>554110</v>
      </c>
      <c r="D33">
        <v>65883</v>
      </c>
      <c r="E33">
        <v>345020</v>
      </c>
      <c r="F33">
        <v>2576</v>
      </c>
      <c r="G33">
        <v>3.13</v>
      </c>
      <c r="H33">
        <f t="shared" si="0"/>
        <v>8.4105156110073924</v>
      </c>
      <c r="I33">
        <f t="shared" si="1"/>
        <v>0.11889877461153922</v>
      </c>
      <c r="J33">
        <v>1.9489137535868299</v>
      </c>
      <c r="K33">
        <f t="shared" si="2"/>
        <v>0.6226561513056974</v>
      </c>
      <c r="L33">
        <f t="shared" si="3"/>
        <v>4.6488964285069751E-3</v>
      </c>
      <c r="M33">
        <v>0.80790419379809697</v>
      </c>
      <c r="N33">
        <v>77.92</v>
      </c>
      <c r="O33">
        <v>683.1</v>
      </c>
      <c r="P33" t="s">
        <v>33</v>
      </c>
      <c r="Q33">
        <v>3.9724000000000002E-2</v>
      </c>
      <c r="R33">
        <v>4.6480000000000002E-3</v>
      </c>
      <c r="S33">
        <v>82.630889999999994</v>
      </c>
      <c r="T33">
        <v>64872.28</v>
      </c>
      <c r="U33" s="8">
        <v>25755400000</v>
      </c>
      <c r="V33">
        <v>0.60102199999999995</v>
      </c>
      <c r="W33" s="8">
        <v>267217500000</v>
      </c>
      <c r="X33">
        <v>6</v>
      </c>
      <c r="Y33">
        <v>8.1454423917012555</v>
      </c>
      <c r="Z33">
        <v>0.74616291787889266</v>
      </c>
      <c r="AA33" s="5">
        <v>44974</v>
      </c>
      <c r="AB33">
        <v>1</v>
      </c>
    </row>
    <row r="34" spans="1:28" x14ac:dyDescent="0.2">
      <c r="A34" s="4" t="s">
        <v>34</v>
      </c>
      <c r="B34">
        <v>2022</v>
      </c>
      <c r="C34">
        <v>318578</v>
      </c>
      <c r="D34">
        <v>33699</v>
      </c>
      <c r="E34">
        <v>181508</v>
      </c>
      <c r="F34">
        <v>1066</v>
      </c>
      <c r="G34">
        <v>13.93</v>
      </c>
      <c r="H34">
        <f t="shared" si="0"/>
        <v>9.453633638980385</v>
      </c>
      <c r="I34">
        <f t="shared" si="1"/>
        <v>0.10577943235251649</v>
      </c>
      <c r="J34">
        <v>7.93653811625411</v>
      </c>
      <c r="K34">
        <f t="shared" si="2"/>
        <v>0.56974430123862918</v>
      </c>
      <c r="L34">
        <f t="shared" si="3"/>
        <v>3.3461193177181099E-3</v>
      </c>
      <c r="M34">
        <v>0.99810694679367395</v>
      </c>
      <c r="N34">
        <v>2510.09</v>
      </c>
      <c r="O34">
        <v>13.4</v>
      </c>
      <c r="P34" t="s">
        <v>35</v>
      </c>
      <c r="Q34">
        <v>3.1633000000000001E-2</v>
      </c>
      <c r="R34">
        <v>3.346E-3</v>
      </c>
      <c r="S34">
        <v>20.098215</v>
      </c>
      <c r="T34">
        <v>46908.06</v>
      </c>
      <c r="U34" s="8">
        <v>1064000000</v>
      </c>
      <c r="V34">
        <v>0.91379999999999995</v>
      </c>
      <c r="W34" s="8">
        <v>84150000000</v>
      </c>
      <c r="X34">
        <v>1</v>
      </c>
      <c r="Y34">
        <v>3.8979087469085321</v>
      </c>
      <c r="Z34">
        <v>0.72854048344824052</v>
      </c>
      <c r="AA34" s="5">
        <v>24346</v>
      </c>
      <c r="AB34">
        <v>1</v>
      </c>
    </row>
    <row r="35" spans="1:28" x14ac:dyDescent="0.2">
      <c r="A35" s="4" t="s">
        <v>34</v>
      </c>
      <c r="B35">
        <v>2023</v>
      </c>
      <c r="C35">
        <v>355204</v>
      </c>
      <c r="D35">
        <v>40718</v>
      </c>
      <c r="E35">
        <v>200135</v>
      </c>
      <c r="F35">
        <v>717</v>
      </c>
      <c r="G35">
        <v>2.17</v>
      </c>
      <c r="H35">
        <f t="shared" si="0"/>
        <v>8.723512942678914</v>
      </c>
      <c r="I35">
        <f t="shared" si="1"/>
        <v>0.1146327181000214</v>
      </c>
      <c r="J35">
        <v>1.2226578247992701</v>
      </c>
      <c r="K35">
        <f t="shared" si="2"/>
        <v>0.56343678562178356</v>
      </c>
      <c r="L35">
        <f t="shared" si="3"/>
        <v>2.0185583495681354E-3</v>
      </c>
      <c r="M35">
        <v>1.1301144456996901</v>
      </c>
      <c r="N35">
        <v>2876</v>
      </c>
      <c r="O35">
        <v>16</v>
      </c>
      <c r="P35" t="s">
        <v>35</v>
      </c>
      <c r="Q35">
        <v>1.8071E-2</v>
      </c>
      <c r="R35">
        <v>2.0720000000000001E-3</v>
      </c>
      <c r="S35">
        <v>20.098215</v>
      </c>
      <c r="T35">
        <v>54511.67</v>
      </c>
      <c r="U35" s="8">
        <v>7358186000</v>
      </c>
      <c r="V35">
        <v>0.91378499999999996</v>
      </c>
      <c r="W35" s="8">
        <v>93697160000</v>
      </c>
      <c r="X35">
        <v>2</v>
      </c>
      <c r="Y35">
        <v>4.1071000353045584</v>
      </c>
      <c r="Z35">
        <v>0.73986000567674637</v>
      </c>
      <c r="AA35" s="5">
        <v>27517</v>
      </c>
      <c r="AB35">
        <v>1</v>
      </c>
    </row>
    <row r="36" spans="1:28" x14ac:dyDescent="0.2">
      <c r="A36" s="4" t="s">
        <v>34</v>
      </c>
      <c r="B36">
        <v>2024</v>
      </c>
      <c r="C36">
        <v>406361</v>
      </c>
      <c r="D36">
        <v>42155</v>
      </c>
      <c r="E36">
        <v>227800</v>
      </c>
      <c r="F36">
        <v>1251</v>
      </c>
      <c r="G36">
        <v>1.71</v>
      </c>
      <c r="H36">
        <f t="shared" si="0"/>
        <v>9.6396868698849492</v>
      </c>
      <c r="I36">
        <f t="shared" si="1"/>
        <v>0.10373780948467004</v>
      </c>
      <c r="J36">
        <v>0.95860084998314299</v>
      </c>
      <c r="K36">
        <f t="shared" si="2"/>
        <v>0.56058529238780297</v>
      </c>
      <c r="L36">
        <f t="shared" si="3"/>
        <v>3.0785434625862228E-3</v>
      </c>
      <c r="M36">
        <v>1.64500865852212</v>
      </c>
      <c r="N36">
        <v>2877.4</v>
      </c>
      <c r="O36">
        <v>24.1</v>
      </c>
      <c r="P36" t="s">
        <v>35</v>
      </c>
      <c r="Q36">
        <v>3.0487E-2</v>
      </c>
      <c r="R36">
        <v>3.163E-3</v>
      </c>
      <c r="S36">
        <v>20.098215</v>
      </c>
      <c r="T36">
        <v>73385.710000000006</v>
      </c>
      <c r="U36" s="8">
        <v>12852020000</v>
      </c>
      <c r="V36">
        <v>0.72265299999999999</v>
      </c>
      <c r="W36" s="8">
        <v>139782800000</v>
      </c>
      <c r="X36">
        <v>8</v>
      </c>
      <c r="Y36">
        <v>5.1797980615099188</v>
      </c>
      <c r="Z36">
        <v>0.73781888892776093</v>
      </c>
      <c r="AA36" s="5">
        <v>28001</v>
      </c>
      <c r="AB36">
        <v>1</v>
      </c>
    </row>
    <row r="37" spans="1:28" x14ac:dyDescent="0.2">
      <c r="A37" s="4" t="s">
        <v>34</v>
      </c>
      <c r="B37">
        <v>2025</v>
      </c>
      <c r="C37">
        <v>424115</v>
      </c>
      <c r="D37">
        <v>47832</v>
      </c>
      <c r="E37">
        <v>246188</v>
      </c>
      <c r="F37">
        <v>2406</v>
      </c>
      <c r="G37">
        <v>1.61</v>
      </c>
      <c r="H37">
        <f t="shared" si="0"/>
        <v>8.8667628365947486</v>
      </c>
      <c r="I37">
        <f t="shared" si="1"/>
        <v>0.11278073164118223</v>
      </c>
      <c r="J37">
        <v>0.93456416302182199</v>
      </c>
      <c r="K37">
        <f t="shared" si="2"/>
        <v>0.58047463541728073</v>
      </c>
      <c r="L37">
        <f t="shared" si="3"/>
        <v>5.6729896372446154E-3</v>
      </c>
      <c r="M37">
        <v>1.13985423983944</v>
      </c>
      <c r="N37">
        <v>3133.42</v>
      </c>
      <c r="O37">
        <v>17.399999999999999</v>
      </c>
      <c r="P37" t="s">
        <v>35</v>
      </c>
      <c r="Q37">
        <v>5.1146999999999998E-2</v>
      </c>
      <c r="R37">
        <v>5.7679999999999997E-3</v>
      </c>
      <c r="S37">
        <v>20.098215</v>
      </c>
      <c r="T37">
        <v>62630.32</v>
      </c>
      <c r="U37" s="8">
        <v>24464900000</v>
      </c>
      <c r="V37">
        <v>0.71416900000000005</v>
      </c>
      <c r="W37" s="8">
        <v>150772500000</v>
      </c>
      <c r="X37">
        <v>4</v>
      </c>
      <c r="Y37">
        <v>4.2112377747140322</v>
      </c>
      <c r="Z37">
        <v>0.75854446671225806</v>
      </c>
      <c r="AA37" s="5">
        <v>28690</v>
      </c>
      <c r="AB37">
        <v>0</v>
      </c>
    </row>
    <row r="38" spans="1:28" x14ac:dyDescent="0.2">
      <c r="A38" s="4" t="s">
        <v>36</v>
      </c>
      <c r="B38">
        <v>2022</v>
      </c>
      <c r="C38">
        <v>1258789</v>
      </c>
      <c r="D38">
        <v>70786</v>
      </c>
      <c r="E38">
        <v>703800</v>
      </c>
      <c r="F38">
        <v>5678</v>
      </c>
      <c r="G38">
        <v>7.51</v>
      </c>
      <c r="H38">
        <f t="shared" si="0"/>
        <v>17.783022066510327</v>
      </c>
      <c r="I38">
        <f t="shared" si="1"/>
        <v>5.6233411636104222E-2</v>
      </c>
      <c r="J38">
        <v>4.1989070447866998</v>
      </c>
      <c r="K38">
        <f t="shared" si="2"/>
        <v>0.55910879424589821</v>
      </c>
      <c r="L38">
        <f t="shared" si="3"/>
        <v>4.5106844753171503E-3</v>
      </c>
      <c r="M38">
        <v>0.61264303675868104</v>
      </c>
      <c r="N38">
        <v>181.45</v>
      </c>
      <c r="O38">
        <v>239</v>
      </c>
      <c r="P38" t="s">
        <v>37</v>
      </c>
      <c r="Q38">
        <v>8.7545999999999999E-2</v>
      </c>
      <c r="R38">
        <v>4.8659999999999997E-3</v>
      </c>
      <c r="S38">
        <v>6.103726</v>
      </c>
      <c r="T38">
        <v>38868.18</v>
      </c>
      <c r="U38" s="8">
        <v>61248220000</v>
      </c>
      <c r="V38">
        <v>0.62221300000000002</v>
      </c>
      <c r="W38" s="8">
        <v>497740900000</v>
      </c>
      <c r="X38">
        <v>0</v>
      </c>
      <c r="Y38">
        <v>4.96</v>
      </c>
      <c r="Z38">
        <v>0.79</v>
      </c>
      <c r="AA38" s="5">
        <v>86919</v>
      </c>
      <c r="AB38">
        <v>0</v>
      </c>
    </row>
    <row r="39" spans="1:28" x14ac:dyDescent="0.2">
      <c r="A39" s="4" t="s">
        <v>36</v>
      </c>
      <c r="B39">
        <v>2023</v>
      </c>
      <c r="C39">
        <v>1381030</v>
      </c>
      <c r="D39">
        <v>78958</v>
      </c>
      <c r="E39">
        <v>821732</v>
      </c>
      <c r="F39">
        <v>10604</v>
      </c>
      <c r="G39">
        <v>5.35</v>
      </c>
      <c r="H39">
        <f t="shared" si="0"/>
        <v>17.49069125357785</v>
      </c>
      <c r="I39">
        <f t="shared" si="1"/>
        <v>5.7173269226591744E-2</v>
      </c>
      <c r="J39">
        <v>3.1833241855716401</v>
      </c>
      <c r="K39">
        <f t="shared" si="2"/>
        <v>0.59501386646198851</v>
      </c>
      <c r="L39">
        <f t="shared" si="3"/>
        <v>7.6783270457557043E-3</v>
      </c>
      <c r="M39">
        <v>0.68470614123964602</v>
      </c>
      <c r="N39">
        <v>181.45</v>
      </c>
      <c r="O39">
        <v>297.95</v>
      </c>
      <c r="P39" t="s">
        <v>37</v>
      </c>
      <c r="Q39">
        <v>0.14419199999999999</v>
      </c>
      <c r="R39">
        <v>8.1499999999999993E-3</v>
      </c>
      <c r="S39">
        <v>6.103726</v>
      </c>
      <c r="T39">
        <v>56279.08</v>
      </c>
      <c r="U39" s="8">
        <v>112547500000</v>
      </c>
      <c r="V39">
        <v>0.56359099999999995</v>
      </c>
      <c r="W39" s="8">
        <v>553766500000</v>
      </c>
      <c r="X39">
        <v>0</v>
      </c>
      <c r="Y39">
        <v>5.71</v>
      </c>
      <c r="Z39">
        <v>0.82</v>
      </c>
      <c r="AA39" s="5">
        <v>84978</v>
      </c>
      <c r="AB39">
        <v>0</v>
      </c>
    </row>
    <row r="40" spans="1:28" x14ac:dyDescent="0.2">
      <c r="A40" s="4" t="s">
        <v>36</v>
      </c>
      <c r="B40">
        <v>2024</v>
      </c>
      <c r="C40">
        <v>1535018</v>
      </c>
      <c r="D40">
        <v>93134</v>
      </c>
      <c r="E40">
        <v>925638</v>
      </c>
      <c r="F40">
        <v>14554</v>
      </c>
      <c r="G40">
        <v>4.2300000000000004</v>
      </c>
      <c r="H40">
        <f t="shared" si="0"/>
        <v>16.481821891038717</v>
      </c>
      <c r="I40">
        <f t="shared" si="1"/>
        <v>6.0672904161384426E-2</v>
      </c>
      <c r="J40">
        <v>2.5507510270237899</v>
      </c>
      <c r="K40">
        <f t="shared" si="2"/>
        <v>0.60301442719238474</v>
      </c>
      <c r="L40">
        <f t="shared" si="3"/>
        <v>9.481322043129136E-3</v>
      </c>
      <c r="M40">
        <v>1.1732470418966201</v>
      </c>
      <c r="N40">
        <v>181.45</v>
      </c>
      <c r="O40">
        <v>602.20000000000005</v>
      </c>
      <c r="P40" t="s">
        <v>37</v>
      </c>
      <c r="Q40">
        <v>0.16583100000000001</v>
      </c>
      <c r="R40">
        <v>9.953E-3</v>
      </c>
      <c r="S40">
        <v>6.103726</v>
      </c>
      <c r="T40">
        <v>94681.1</v>
      </c>
      <c r="U40" s="8">
        <v>152785600000</v>
      </c>
      <c r="V40">
        <v>0.56000099999999997</v>
      </c>
      <c r="W40" s="8">
        <v>661201100000</v>
      </c>
      <c r="X40">
        <v>0</v>
      </c>
      <c r="Y40">
        <v>6.25</v>
      </c>
      <c r="Z40">
        <v>0.85</v>
      </c>
      <c r="AA40" s="5">
        <v>82638</v>
      </c>
      <c r="AB40">
        <v>1</v>
      </c>
    </row>
    <row r="41" spans="1:28" x14ac:dyDescent="0.2">
      <c r="A41" s="4" t="s">
        <v>36</v>
      </c>
      <c r="B41">
        <v>2025</v>
      </c>
      <c r="C41">
        <v>1730691</v>
      </c>
      <c r="D41">
        <v>106607</v>
      </c>
      <c r="E41">
        <v>1004562</v>
      </c>
      <c r="F41">
        <v>18415</v>
      </c>
      <c r="G41">
        <v>2.94</v>
      </c>
      <c r="H41">
        <f t="shared" si="0"/>
        <v>16.23430919170411</v>
      </c>
      <c r="I41">
        <f t="shared" si="1"/>
        <v>6.1597939782433719E-2</v>
      </c>
      <c r="J41">
        <v>1.70649311748891</v>
      </c>
      <c r="K41">
        <f t="shared" si="2"/>
        <v>0.58043983588058179</v>
      </c>
      <c r="L41">
        <f t="shared" si="3"/>
        <v>1.0640258717471807E-2</v>
      </c>
      <c r="M41">
        <v>0.81710118003508203</v>
      </c>
      <c r="N41">
        <v>906.91</v>
      </c>
      <c r="O41">
        <v>96.05</v>
      </c>
      <c r="P41" t="s">
        <v>37</v>
      </c>
      <c r="Q41">
        <v>0.166384</v>
      </c>
      <c r="R41">
        <v>1.0134000000000001E-2</v>
      </c>
      <c r="S41">
        <v>6.103726</v>
      </c>
      <c r="T41">
        <v>100050.19</v>
      </c>
      <c r="U41" s="8">
        <v>175396200000</v>
      </c>
      <c r="V41">
        <v>0.53898400000000002</v>
      </c>
      <c r="W41" s="8">
        <v>710696000000</v>
      </c>
      <c r="X41">
        <v>0</v>
      </c>
      <c r="Y41">
        <v>6.88</v>
      </c>
      <c r="Z41">
        <v>0.88</v>
      </c>
      <c r="AA41" s="5">
        <v>81260</v>
      </c>
      <c r="A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Yuktha .</cp:lastModifiedBy>
  <dcterms:created xsi:type="dcterms:W3CDTF">2026-05-08T06:54:33Z</dcterms:created>
  <dcterms:modified xsi:type="dcterms:W3CDTF">2026-05-08T12:48:45Z</dcterms:modified>
</cp:coreProperties>
</file>